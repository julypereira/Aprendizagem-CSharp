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_Desenvolvimento\Aprendizagem-CSharp\Udemy\"/>
    </mc:Choice>
  </mc:AlternateContent>
  <xr:revisionPtr revIDLastSave="0" documentId="13_ncr:1_{5F4E7838-F475-42D1-A712-D09BBFF4A980}" xr6:coauthVersionLast="47" xr6:coauthVersionMax="47" xr10:uidLastSave="{00000000-0000-0000-0000-000000000000}"/>
  <bookViews>
    <workbookView xWindow="-120" yWindow="-120" windowWidth="29040" windowHeight="15840" tabRatio="0" xr2:uid="{B7D12F26-DE04-457B-81A6-3D631A03DDFD}"/>
  </bookViews>
  <sheets>
    <sheet name="Planilh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5" i="1" l="1"/>
  <c r="F7" i="1"/>
  <c r="F8" i="1"/>
  <c r="F11" i="1"/>
  <c r="F12" i="1"/>
  <c r="F15" i="1"/>
  <c r="F16" i="1"/>
  <c r="E5" i="1"/>
  <c r="E6" i="1"/>
  <c r="E7" i="1"/>
  <c r="E8" i="1"/>
  <c r="E9" i="1"/>
  <c r="E10" i="1"/>
  <c r="F10" i="1" s="1"/>
  <c r="E11" i="1"/>
  <c r="E12" i="1"/>
  <c r="E13" i="1"/>
  <c r="E14" i="1"/>
  <c r="F14" i="1" s="1"/>
  <c r="E15" i="1"/>
  <c r="E16" i="1"/>
  <c r="E4" i="1"/>
  <c r="E17" i="1" s="1"/>
  <c r="D5" i="1"/>
  <c r="F5" i="1" s="1"/>
  <c r="D6" i="1"/>
  <c r="F6" i="1" s="1"/>
  <c r="D7" i="1"/>
  <c r="D8" i="1"/>
  <c r="D9" i="1"/>
  <c r="F9" i="1" s="1"/>
  <c r="D10" i="1"/>
  <c r="D11" i="1"/>
  <c r="D12" i="1"/>
  <c r="D13" i="1"/>
  <c r="F13" i="1" s="1"/>
  <c r="D14" i="1"/>
  <c r="D15" i="1"/>
  <c r="D16" i="1"/>
  <c r="D4" i="1"/>
  <c r="D17" i="1" s="1"/>
  <c r="C17" i="1"/>
  <c r="M6" i="1" l="1"/>
  <c r="F4" i="1"/>
  <c r="M4" i="1" l="1"/>
  <c r="M7" i="1" s="1"/>
  <c r="F17" i="1"/>
</calcChain>
</file>

<file path=xl/sharedStrings.xml><?xml version="1.0" encoding="utf-8"?>
<sst xmlns="http://schemas.openxmlformats.org/spreadsheetml/2006/main" count="40" uniqueCount="24">
  <si>
    <t>Seção 5</t>
  </si>
  <si>
    <t>Seção 6</t>
  </si>
  <si>
    <t>Seção 7</t>
  </si>
  <si>
    <t>Seção 8</t>
  </si>
  <si>
    <t>Seção 9</t>
  </si>
  <si>
    <t>Seção 10</t>
  </si>
  <si>
    <t>Seção 11</t>
  </si>
  <si>
    <t>Seção 12</t>
  </si>
  <si>
    <t>Seção 13</t>
  </si>
  <si>
    <t>CH Total</t>
  </si>
  <si>
    <t>Seção 1</t>
  </si>
  <si>
    <t>Seção 2</t>
  </si>
  <si>
    <t>Seção 3</t>
  </si>
  <si>
    <t>Seção 4</t>
  </si>
  <si>
    <t>Vídeo Aula</t>
  </si>
  <si>
    <t>Buffer</t>
  </si>
  <si>
    <t>Prática</t>
  </si>
  <si>
    <t>Aula</t>
  </si>
  <si>
    <t>Situação</t>
  </si>
  <si>
    <t>Feito</t>
  </si>
  <si>
    <t>Fazer</t>
  </si>
  <si>
    <t>CH</t>
  </si>
  <si>
    <t>Fazendo</t>
  </si>
  <si>
    <t>Console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</si>
</sst>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[h]:mm:ss;@"/>
  </numFmts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</fills>
  <borders count="4">
    <border>
      <left/>
      <right/>
      <top/>
      <bottom/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3743705557422"/>
      </left>
      <right style="hair">
        <color theme="0" tint="-0.14993743705557422"/>
      </right>
      <top style="hair">
        <color theme="0" tint="-0.14993743705557422"/>
      </top>
      <bottom style="hair">
        <color theme="0" tint="-0.14993743705557422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0" xfId="0" applyAlignment="1">
      <alignment horizontal="left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left"/>
    </xf>
    <xf numFmtId="165" fontId="1" fillId="2" borderId="1" xfId="0" applyNumberFormat="1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0" fillId="0" borderId="1" xfId="0" applyFill="1" applyBorder="1" applyAlignment="1">
      <alignment horizontal="left"/>
    </xf>
    <xf numFmtId="165" fontId="0" fillId="0" borderId="1" xfId="0" applyNumberFormat="1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1" xfId="0" applyBorder="1" applyAlignment="1">
      <alignment horizontal="left"/>
    </xf>
    <xf numFmtId="165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left"/>
    </xf>
    <xf numFmtId="165" fontId="0" fillId="0" borderId="3" xfId="0" applyNumberFormat="1" applyBorder="1" applyAlignment="1">
      <alignment horizontal="center"/>
    </xf>
    <xf numFmtId="0" fontId="1" fillId="2" borderId="2" xfId="0" applyFont="1" applyFill="1" applyBorder="1" applyAlignment="1">
      <alignment horizontal="left"/>
    </xf>
    <xf numFmtId="165" fontId="1" fillId="2" borderId="2" xfId="0" applyNumberFormat="1" applyFont="1" applyFill="1" applyBorder="1" applyAlignment="1">
      <alignment horizontal="center"/>
    </xf>
  </cellXfs>
  <cellStyles count="1">
    <cellStyle name="Normal" xfId="0" builtinId="0"/>
  </cellStyles>
  <dxfs count="6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0" tint="-0.1499679555650502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7757C1-3394-4FC1-9CF8-03BD5BA9F3A4}">
  <dimension ref="B2:M17"/>
  <sheetViews>
    <sheetView showGridLines="0" showRowColHeaders="0" tabSelected="1" workbookViewId="0">
      <selection activeCell="L22" sqref="L22"/>
    </sheetView>
  </sheetViews>
  <sheetFormatPr defaultRowHeight="15" x14ac:dyDescent="0.25"/>
  <cols>
    <col min="2" max="2" width="16" style="1" customWidth="1"/>
    <col min="3" max="3" width="12.85546875" style="2" customWidth="1"/>
    <col min="4" max="6" width="12.7109375" style="3" customWidth="1"/>
    <col min="7" max="7" width="16" style="3" customWidth="1"/>
    <col min="12" max="12" width="16" style="3" customWidth="1"/>
    <col min="13" max="13" width="10.28515625" customWidth="1"/>
  </cols>
  <sheetData>
    <row r="2" spans="2:13" x14ac:dyDescent="0.25">
      <c r="B2" s="4" t="s">
        <v>23</v>
      </c>
      <c r="C2" s="4"/>
      <c r="D2" s="4"/>
      <c r="E2" s="4"/>
      <c r="F2" s="4"/>
      <c r="G2" s="4"/>
    </row>
    <row r="3" spans="2:13" x14ac:dyDescent="0.25">
      <c r="B3" s="5" t="s">
        <v>17</v>
      </c>
      <c r="C3" s="6" t="s">
        <v>14</v>
      </c>
      <c r="D3" s="7" t="s">
        <v>15</v>
      </c>
      <c r="E3" s="7" t="s">
        <v>16</v>
      </c>
      <c r="F3" s="7" t="s">
        <v>9</v>
      </c>
      <c r="G3" s="7" t="s">
        <v>18</v>
      </c>
      <c r="L3" s="7" t="s">
        <v>18</v>
      </c>
      <c r="M3" s="7" t="s">
        <v>21</v>
      </c>
    </row>
    <row r="4" spans="2:13" x14ac:dyDescent="0.25">
      <c r="B4" s="8" t="s">
        <v>10</v>
      </c>
      <c r="C4" s="9">
        <v>6.9444444444444441E-3</v>
      </c>
      <c r="D4" s="9">
        <f>C4*10%</f>
        <v>6.9444444444444447E-4</v>
      </c>
      <c r="E4" s="9">
        <f>C4*10%</f>
        <v>6.9444444444444447E-4</v>
      </c>
      <c r="F4" s="9">
        <f>SUM(C4:E4)</f>
        <v>8.3333333333333332E-3</v>
      </c>
      <c r="G4" s="10" t="s">
        <v>19</v>
      </c>
      <c r="L4" s="13" t="s">
        <v>19</v>
      </c>
      <c r="M4" s="12">
        <f>SUMIF(G:G,L4,F:F)</f>
        <v>0.19916666666666666</v>
      </c>
    </row>
    <row r="5" spans="2:13" x14ac:dyDescent="0.25">
      <c r="B5" s="8" t="s">
        <v>11</v>
      </c>
      <c r="C5" s="9">
        <v>2.4999999999999998E-2</v>
      </c>
      <c r="D5" s="9">
        <f t="shared" ref="D5:D16" si="0">C5*10%</f>
        <v>2.5000000000000001E-3</v>
      </c>
      <c r="E5" s="9">
        <f t="shared" ref="E5:E16" si="1">C5*10%</f>
        <v>2.5000000000000001E-3</v>
      </c>
      <c r="F5" s="9">
        <f t="shared" ref="F5:F16" si="2">SUM(C5:E5)</f>
        <v>2.9999999999999995E-2</v>
      </c>
      <c r="G5" s="10" t="s">
        <v>19</v>
      </c>
      <c r="L5" s="13" t="s">
        <v>22</v>
      </c>
      <c r="M5" s="12">
        <f>SUMIF(G:G,L5,F:F)</f>
        <v>0</v>
      </c>
    </row>
    <row r="6" spans="2:13" x14ac:dyDescent="0.25">
      <c r="B6" s="8" t="s">
        <v>12</v>
      </c>
      <c r="C6" s="9">
        <v>4.9305555555555554E-2</v>
      </c>
      <c r="D6" s="9">
        <f t="shared" si="0"/>
        <v>4.9305555555555561E-3</v>
      </c>
      <c r="E6" s="9">
        <f t="shared" si="1"/>
        <v>4.9305555555555561E-3</v>
      </c>
      <c r="F6" s="9">
        <f t="shared" si="2"/>
        <v>5.9166666666666666E-2</v>
      </c>
      <c r="G6" s="10" t="s">
        <v>19</v>
      </c>
      <c r="L6" s="13" t="s">
        <v>20</v>
      </c>
      <c r="M6" s="12">
        <f>SUMIF(G:G,L6,F:F)</f>
        <v>0.31749999999999995</v>
      </c>
    </row>
    <row r="7" spans="2:13" x14ac:dyDescent="0.25">
      <c r="B7" s="8" t="s">
        <v>13</v>
      </c>
      <c r="C7" s="9">
        <v>6.6666666666666666E-2</v>
      </c>
      <c r="D7" s="9">
        <f t="shared" si="0"/>
        <v>6.6666666666666671E-3</v>
      </c>
      <c r="E7" s="9">
        <f t="shared" si="1"/>
        <v>6.6666666666666671E-3</v>
      </c>
      <c r="F7" s="9">
        <f t="shared" si="2"/>
        <v>0.08</v>
      </c>
      <c r="G7" s="10" t="s">
        <v>19</v>
      </c>
      <c r="L7" s="5" t="s">
        <v>9</v>
      </c>
      <c r="M7" s="6">
        <f>SUM(M4:M6)</f>
        <v>0.51666666666666661</v>
      </c>
    </row>
    <row r="8" spans="2:13" x14ac:dyDescent="0.25">
      <c r="B8" s="8" t="s">
        <v>0</v>
      </c>
      <c r="C8" s="9">
        <v>1.8055555555555557E-2</v>
      </c>
      <c r="D8" s="9">
        <f t="shared" si="0"/>
        <v>1.8055555555555559E-3</v>
      </c>
      <c r="E8" s="9">
        <f t="shared" si="1"/>
        <v>1.8055555555555559E-3</v>
      </c>
      <c r="F8" s="9">
        <f t="shared" si="2"/>
        <v>2.1666666666666671E-2</v>
      </c>
      <c r="G8" s="10" t="s">
        <v>19</v>
      </c>
      <c r="L8"/>
    </row>
    <row r="9" spans="2:13" x14ac:dyDescent="0.25">
      <c r="B9" s="11" t="s">
        <v>1</v>
      </c>
      <c r="C9" s="12">
        <v>3.4722222222222224E-2</v>
      </c>
      <c r="D9" s="12">
        <f t="shared" si="0"/>
        <v>3.4722222222222225E-3</v>
      </c>
      <c r="E9" s="12">
        <f t="shared" si="1"/>
        <v>3.4722222222222225E-3</v>
      </c>
      <c r="F9" s="12">
        <f t="shared" si="2"/>
        <v>4.1666666666666671E-2</v>
      </c>
      <c r="G9" s="13" t="s">
        <v>20</v>
      </c>
      <c r="L9"/>
    </row>
    <row r="10" spans="2:13" x14ac:dyDescent="0.25">
      <c r="B10" s="11" t="s">
        <v>2</v>
      </c>
      <c r="C10" s="12">
        <v>4.1666666666666664E-2</v>
      </c>
      <c r="D10" s="12">
        <f t="shared" si="0"/>
        <v>4.1666666666666666E-3</v>
      </c>
      <c r="E10" s="12">
        <f t="shared" si="1"/>
        <v>4.1666666666666666E-3</v>
      </c>
      <c r="F10" s="12">
        <f t="shared" si="2"/>
        <v>4.9999999999999996E-2</v>
      </c>
      <c r="G10" s="13" t="s">
        <v>20</v>
      </c>
      <c r="L10"/>
    </row>
    <row r="11" spans="2:13" x14ac:dyDescent="0.25">
      <c r="B11" s="11" t="s">
        <v>3</v>
      </c>
      <c r="C11" s="12">
        <v>4.3750000000000004E-2</v>
      </c>
      <c r="D11" s="12">
        <f t="shared" si="0"/>
        <v>4.3750000000000004E-3</v>
      </c>
      <c r="E11" s="12">
        <f t="shared" si="1"/>
        <v>4.3750000000000004E-3</v>
      </c>
      <c r="F11" s="12">
        <f t="shared" si="2"/>
        <v>5.2500000000000005E-2</v>
      </c>
      <c r="G11" s="13" t="s">
        <v>20</v>
      </c>
      <c r="L11"/>
    </row>
    <row r="12" spans="2:13" x14ac:dyDescent="0.25">
      <c r="B12" s="11" t="s">
        <v>4</v>
      </c>
      <c r="C12" s="12">
        <v>2.5694444444444447E-2</v>
      </c>
      <c r="D12" s="12">
        <f t="shared" si="0"/>
        <v>2.5694444444444449E-3</v>
      </c>
      <c r="E12" s="12">
        <f t="shared" si="1"/>
        <v>2.5694444444444449E-3</v>
      </c>
      <c r="F12" s="12">
        <f t="shared" si="2"/>
        <v>3.0833333333333334E-2</v>
      </c>
      <c r="G12" s="13" t="s">
        <v>20</v>
      </c>
      <c r="L12"/>
    </row>
    <row r="13" spans="2:13" x14ac:dyDescent="0.25">
      <c r="B13" s="11" t="s">
        <v>5</v>
      </c>
      <c r="C13" s="12">
        <v>5.2083333333333336E-2</v>
      </c>
      <c r="D13" s="12">
        <f t="shared" si="0"/>
        <v>5.2083333333333339E-3</v>
      </c>
      <c r="E13" s="12">
        <f t="shared" si="1"/>
        <v>5.2083333333333339E-3</v>
      </c>
      <c r="F13" s="12">
        <f t="shared" si="2"/>
        <v>6.25E-2</v>
      </c>
      <c r="G13" s="13" t="s">
        <v>20</v>
      </c>
      <c r="L13"/>
    </row>
    <row r="14" spans="2:13" x14ac:dyDescent="0.25">
      <c r="B14" s="11" t="s">
        <v>6</v>
      </c>
      <c r="C14" s="12">
        <v>3.3333333333333333E-2</v>
      </c>
      <c r="D14" s="12">
        <f t="shared" si="0"/>
        <v>3.3333333333333335E-3</v>
      </c>
      <c r="E14" s="12">
        <f t="shared" si="1"/>
        <v>3.3333333333333335E-3</v>
      </c>
      <c r="F14" s="12">
        <f t="shared" si="2"/>
        <v>0.04</v>
      </c>
      <c r="G14" s="13" t="s">
        <v>20</v>
      </c>
      <c r="L14"/>
    </row>
    <row r="15" spans="2:13" x14ac:dyDescent="0.25">
      <c r="B15" s="11" t="s">
        <v>7</v>
      </c>
      <c r="C15" s="12">
        <v>2.7777777777777776E-2</v>
      </c>
      <c r="D15" s="12">
        <f t="shared" si="0"/>
        <v>2.7777777777777779E-3</v>
      </c>
      <c r="E15" s="12">
        <f t="shared" si="1"/>
        <v>2.7777777777777779E-3</v>
      </c>
      <c r="F15" s="12">
        <f t="shared" si="2"/>
        <v>3.3333333333333333E-2</v>
      </c>
      <c r="G15" s="13" t="s">
        <v>20</v>
      </c>
      <c r="L15"/>
    </row>
    <row r="16" spans="2:13" x14ac:dyDescent="0.25">
      <c r="B16" s="14" t="s">
        <v>8</v>
      </c>
      <c r="C16" s="15">
        <v>5.5555555555555558E-3</v>
      </c>
      <c r="D16" s="15">
        <f t="shared" si="0"/>
        <v>5.5555555555555556E-4</v>
      </c>
      <c r="E16" s="15">
        <f t="shared" si="1"/>
        <v>5.5555555555555556E-4</v>
      </c>
      <c r="F16" s="15">
        <f t="shared" si="2"/>
        <v>6.6666666666666671E-3</v>
      </c>
      <c r="G16" s="13" t="s">
        <v>20</v>
      </c>
      <c r="L16"/>
    </row>
    <row r="17" spans="2:12" x14ac:dyDescent="0.25">
      <c r="B17" s="16" t="s">
        <v>9</v>
      </c>
      <c r="C17" s="17">
        <f>SUM(C3:C16)</f>
        <v>0.43055555555555547</v>
      </c>
      <c r="D17" s="17">
        <f>SUM(D3:D16)</f>
        <v>4.3055555555555555E-2</v>
      </c>
      <c r="E17" s="17">
        <f>SUM(E3:E16)</f>
        <v>4.3055555555555555E-2</v>
      </c>
      <c r="F17" s="17">
        <f>SUM(F3:F16)</f>
        <v>0.51666666666666672</v>
      </c>
      <c r="L17"/>
    </row>
  </sheetData>
  <mergeCells count="1">
    <mergeCell ref="B2:G2"/>
  </mergeCells>
  <phoneticPr fontId="2" type="noConversion"/>
  <conditionalFormatting sqref="G4:G16">
    <cfRule type="cellIs" dxfId="2" priority="1" operator="equal">
      <formula>$L$6</formula>
    </cfRule>
    <cfRule type="cellIs" dxfId="1" priority="2" operator="equal">
      <formula>$L$5</formula>
    </cfRule>
    <cfRule type="cellIs" dxfId="0" priority="3" operator="equal">
      <formula>$L$4</formula>
    </cfRule>
  </conditionalFormatting>
  <dataValidations count="1">
    <dataValidation type="list" allowBlank="1" showInputMessage="1" showErrorMessage="1" sqref="G4:G16" xr:uid="{B867B812-CFAC-46BF-9A3B-6361B11A97BC}">
      <formula1>"Fazer,Fazendo,Feito"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Julyane Pereira da Silva</dc:creator>
  <cp:lastModifiedBy>Julyane Pereira da Silva</cp:lastModifiedBy>
  <dcterms:created xsi:type="dcterms:W3CDTF">2023-01-13T13:58:08Z</dcterms:created>
  <dcterms:modified xsi:type="dcterms:W3CDTF">2023-01-13T16:01:30Z</dcterms:modified>
</cp:coreProperties>
</file>